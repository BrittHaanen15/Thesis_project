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854" documentId="11_E60897F41BE170836B02CE998F75CCDC64E183C8" xr6:coauthVersionLast="47" xr6:coauthVersionMax="47" xr10:uidLastSave="{BF548076-B822-417E-9A84-25934EE5833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</calcChain>
</file>

<file path=xl/sharedStrings.xml><?xml version="1.0" encoding="utf-8"?>
<sst xmlns="http://schemas.openxmlformats.org/spreadsheetml/2006/main" count="22" uniqueCount="8">
  <si>
    <t>Flask nr</t>
  </si>
  <si>
    <t>Count</t>
  </si>
  <si>
    <t>Edge corr</t>
  </si>
  <si>
    <t>Final coun</t>
  </si>
  <si>
    <t>Dose</t>
  </si>
  <si>
    <t>Rad</t>
  </si>
  <si>
    <t>Triplicate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</si>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</sst>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4D170-2527-4024-AD7D-C4F205DDD90D}" name="Table1" displayName="Table1" ref="A1:G16" totalsRowShown="0" headerRowDxfId="1">
  <autoFilter ref="A1:G16" xr:uid="{5D74D170-2527-4024-AD7D-C4F205DDD90D}"/>
  <sortState xmlns:xlrd2="http://schemas.microsoft.com/office/spreadsheetml/2017/richdata2" ref="A2:G16">
    <sortCondition ref="A1:A16"/>
  </sortState>
  <tableColumns count="7">
    <tableColumn id="1" xr3:uid="{456B04E8-B378-43A1-B936-67C7E2A1A9DA}" name="Flask nr"/>
    <tableColumn id="2" xr3:uid="{5CD7085D-BC89-4F86-8280-1EACCC045286}" name="Count"/>
    <tableColumn id="7" xr3:uid="{B8B2BECC-E51B-40FE-A070-BA1C2AD3395C}" name="Edge corr"/>
    <tableColumn id="8" xr3:uid="{03D92AAC-FA48-42FC-AFFB-D672922455ED}" name="Final coun" dataDxfId="0">
      <calculatedColumnFormula>Table1[[#This Row],[Count]]-Table1[[#This Row],[Edge corr]]</calculatedColumnFormula>
    </tableColumn>
    <tableColumn id="3" xr3:uid="{98400C94-05DA-4B47-AB17-DD524B546F0B}" name="Dose"/>
    <tableColumn id="4" xr3:uid="{77BCA077-DD3D-4812-AAD5-90EB93CE7B27}" name="Rad"/>
    <tableColumn id="5" xr3:uid="{24EEB5CF-65A9-4D36-8B2F-94213A5AFCB6}" name="Triplic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17" sqref="G17"/>
    </sheetView>
  </sheetViews>
  <sheetFormatPr defaultRowHeight="15"/>
  <cols>
    <col min="1" max="1" width="10.28515625" bestFit="1" customWidth="1"/>
    <col min="5" max="5" width="11.7109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92</v>
      </c>
      <c r="C2">
        <v>22</v>
      </c>
      <c r="D2">
        <f>Table1[[#This Row],[Count]]-Table1[[#This Row],[Edge corr]]</f>
        <v>70</v>
      </c>
      <c r="E2">
        <v>0</v>
      </c>
      <c r="F2" t="s">
        <v>7</v>
      </c>
      <c r="G2">
        <v>1</v>
      </c>
    </row>
    <row r="3" spans="1:7">
      <c r="A3">
        <v>2</v>
      </c>
      <c r="B3">
        <v>27</v>
      </c>
      <c r="C3">
        <v>5</v>
      </c>
      <c r="D3">
        <f>Table1[[#This Row],[Count]]-Table1[[#This Row],[Edge corr]]</f>
        <v>22</v>
      </c>
      <c r="E3">
        <v>8</v>
      </c>
      <c r="F3" t="s">
        <v>7</v>
      </c>
      <c r="G3">
        <v>3</v>
      </c>
    </row>
    <row r="4" spans="1:7">
      <c r="A4">
        <v>3</v>
      </c>
      <c r="B4">
        <v>81</v>
      </c>
      <c r="C4">
        <v>16</v>
      </c>
      <c r="D4">
        <f>Table1[[#This Row],[Count]]-Table1[[#This Row],[Edge corr]]</f>
        <v>65</v>
      </c>
      <c r="E4">
        <v>5</v>
      </c>
      <c r="F4" t="s">
        <v>7</v>
      </c>
      <c r="G4">
        <v>3</v>
      </c>
    </row>
    <row r="5" spans="1:7">
      <c r="A5">
        <v>4</v>
      </c>
      <c r="B5">
        <v>85</v>
      </c>
      <c r="C5">
        <v>16</v>
      </c>
      <c r="D5">
        <f>Table1[[#This Row],[Count]]-Table1[[#This Row],[Edge corr]]</f>
        <v>69</v>
      </c>
      <c r="E5">
        <v>5</v>
      </c>
      <c r="F5" t="s">
        <v>7</v>
      </c>
      <c r="G5">
        <v>2</v>
      </c>
    </row>
    <row r="6" spans="1:7">
      <c r="A6">
        <v>5</v>
      </c>
      <c r="B6">
        <v>106</v>
      </c>
      <c r="C6">
        <v>15</v>
      </c>
      <c r="D6">
        <f>Table1[[#This Row],[Count]]-Table1[[#This Row],[Edge corr]]</f>
        <v>91</v>
      </c>
      <c r="E6">
        <v>0</v>
      </c>
      <c r="F6" t="s">
        <v>7</v>
      </c>
      <c r="G6">
        <v>5</v>
      </c>
    </row>
    <row r="7" spans="1:7">
      <c r="A7">
        <v>6</v>
      </c>
      <c r="B7">
        <v>85</v>
      </c>
      <c r="C7">
        <v>13</v>
      </c>
      <c r="D7">
        <f>Table1[[#This Row],[Count]]-Table1[[#This Row],[Edge corr]]</f>
        <v>72</v>
      </c>
      <c r="E7">
        <v>2</v>
      </c>
      <c r="F7" t="s">
        <v>7</v>
      </c>
      <c r="G7">
        <v>1</v>
      </c>
    </row>
    <row r="8" spans="1:7">
      <c r="A8">
        <v>7</v>
      </c>
      <c r="B8" s="2">
        <v>106</v>
      </c>
      <c r="C8" s="2">
        <v>16</v>
      </c>
      <c r="D8" s="2">
        <f>Table1[[#This Row],[Count]]-Table1[[#This Row],[Edge corr]]</f>
        <v>90</v>
      </c>
      <c r="E8">
        <v>0</v>
      </c>
      <c r="F8" t="s">
        <v>7</v>
      </c>
      <c r="G8">
        <v>2</v>
      </c>
    </row>
    <row r="9" spans="1:7">
      <c r="A9">
        <v>8</v>
      </c>
      <c r="B9">
        <v>87</v>
      </c>
      <c r="C9">
        <v>18</v>
      </c>
      <c r="D9">
        <f>Table1[[#This Row],[Count]]-Table1[[#This Row],[Edge corr]]</f>
        <v>69</v>
      </c>
      <c r="E9">
        <v>2</v>
      </c>
      <c r="F9" t="s">
        <v>7</v>
      </c>
      <c r="G9">
        <v>2</v>
      </c>
    </row>
    <row r="10" spans="1:7">
      <c r="A10">
        <v>9</v>
      </c>
      <c r="B10">
        <v>90</v>
      </c>
      <c r="C10">
        <v>22</v>
      </c>
      <c r="D10">
        <f>Table1[[#This Row],[Count]]-Table1[[#This Row],[Edge corr]]</f>
        <v>68</v>
      </c>
      <c r="E10">
        <v>5</v>
      </c>
      <c r="F10" t="s">
        <v>7</v>
      </c>
      <c r="G10">
        <v>1</v>
      </c>
    </row>
    <row r="11" spans="1:7">
      <c r="A11">
        <v>10</v>
      </c>
      <c r="B11">
        <v>115</v>
      </c>
      <c r="C11">
        <v>10</v>
      </c>
      <c r="D11">
        <f>Table1[[#This Row],[Count]]-Table1[[#This Row],[Edge corr]]</f>
        <v>105</v>
      </c>
      <c r="E11">
        <v>2</v>
      </c>
      <c r="F11" t="s">
        <v>7</v>
      </c>
      <c r="G11">
        <v>3</v>
      </c>
    </row>
    <row r="12" spans="1:7">
      <c r="A12">
        <v>11</v>
      </c>
      <c r="B12">
        <v>51</v>
      </c>
      <c r="C12">
        <v>12</v>
      </c>
      <c r="D12">
        <f>Table1[[#This Row],[Count]]-Table1[[#This Row],[Edge corr]]</f>
        <v>39</v>
      </c>
      <c r="E12">
        <v>8</v>
      </c>
      <c r="F12" t="s">
        <v>7</v>
      </c>
      <c r="G12">
        <v>1</v>
      </c>
    </row>
    <row r="13" spans="1:7">
      <c r="A13">
        <v>12</v>
      </c>
      <c r="B13">
        <v>98</v>
      </c>
      <c r="C13">
        <v>17</v>
      </c>
      <c r="D13">
        <f>Table1[[#This Row],[Count]]-Table1[[#This Row],[Edge corr]]</f>
        <v>81</v>
      </c>
      <c r="E13">
        <v>0</v>
      </c>
      <c r="F13" t="s">
        <v>7</v>
      </c>
      <c r="G13">
        <v>4</v>
      </c>
    </row>
    <row r="14" spans="1:7">
      <c r="A14">
        <v>13</v>
      </c>
      <c r="B14">
        <v>121</v>
      </c>
      <c r="C14">
        <v>16</v>
      </c>
      <c r="D14">
        <f>Table1[[#This Row],[Count]]-Table1[[#This Row],[Edge corr]]</f>
        <v>105</v>
      </c>
      <c r="E14">
        <v>0</v>
      </c>
      <c r="F14" t="s">
        <v>7</v>
      </c>
      <c r="G14">
        <v>6</v>
      </c>
    </row>
    <row r="15" spans="1:7">
      <c r="A15">
        <v>14</v>
      </c>
      <c r="B15">
        <v>48</v>
      </c>
      <c r="C15">
        <v>13</v>
      </c>
      <c r="D15">
        <f>Table1[[#This Row],[Count]]-Table1[[#This Row],[Edge corr]]</f>
        <v>35</v>
      </c>
      <c r="E15">
        <v>8</v>
      </c>
      <c r="F15" t="s">
        <v>7</v>
      </c>
      <c r="G15">
        <v>2</v>
      </c>
    </row>
    <row r="16" spans="1:7">
      <c r="A16">
        <v>15</v>
      </c>
      <c r="B16">
        <v>125</v>
      </c>
      <c r="C16">
        <v>20</v>
      </c>
      <c r="D16">
        <f>Table1[[#This Row],[Count]]-Table1[[#This Row],[Edge corr]]</f>
        <v>105</v>
      </c>
      <c r="E16">
        <v>0</v>
      </c>
      <c r="F16" t="s">
        <v>7</v>
      </c>
      <c r="G16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2026-02-13T15:08:09Z</dcterms:created>
  <dcterms:modified xsi:type="dcterms:W3CDTF">2026-03-25T11:42:49Z</dcterms:modified>
  <cp:category/>
  <cp:contentStatus/>
</cp:coreProperties>
</file>