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orhf-my.sharepoint.com/personal/ransyl_ous-hf_no/Documents/Dokumenter/My Documents/"/>
    </mc:Choice>
  </mc:AlternateContent>
  <xr:revisionPtr revIDLastSave="0" documentId="8_{1137BF25-E374-41DE-9CB4-D824FC99F348}" xr6:coauthVersionLast="47" xr6:coauthVersionMax="47" xr10:uidLastSave="{00000000-0000-0000-0000-000000000000}"/>
  <bookViews>
    <workbookView xWindow="1440" yWindow="1170" windowWidth="28365" windowHeight="17040" xr2:uid="{3A4C31F4-C76E-4BBF-BAE3-BD84A5A8A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" l="1"/>
  <c r="U17" i="1" s="1"/>
  <c r="S17" i="1"/>
  <c r="T16" i="1"/>
  <c r="U16" i="1" s="1"/>
  <c r="S16" i="1"/>
  <c r="T15" i="1"/>
  <c r="U15" i="1" s="1"/>
  <c r="S15" i="1"/>
  <c r="T14" i="1"/>
  <c r="U14" i="1" s="1"/>
  <c r="S14" i="1"/>
  <c r="AC9" i="1"/>
  <c r="AD9" i="1" s="1"/>
  <c r="AB9" i="1"/>
  <c r="AC8" i="1"/>
  <c r="AD8" i="1" s="1"/>
  <c r="AB8" i="1"/>
  <c r="AC7" i="1"/>
  <c r="AD7" i="1" s="1"/>
  <c r="AB7" i="1"/>
  <c r="AC6" i="1"/>
  <c r="AD6" i="1" s="1"/>
  <c r="AB6" i="1"/>
</calcChain>
</file>

<file path=xl/sharedStrings.xml><?xml version="1.0" encoding="utf-8"?>
<sst xmlns="http://schemas.openxmlformats.org/spreadsheetml/2006/main" count="61" uniqueCount="13">
  <si>
    <t>U2OS B1</t>
  </si>
  <si>
    <t>Dose Gy</t>
  </si>
  <si>
    <t>O2 level</t>
  </si>
  <si>
    <t>SF A</t>
  </si>
  <si>
    <t>SF B</t>
  </si>
  <si>
    <t>SF C</t>
  </si>
  <si>
    <t>AVG SF</t>
  </si>
  <si>
    <t>STDEV</t>
  </si>
  <si>
    <t>SEM</t>
  </si>
  <si>
    <t>Mock</t>
  </si>
  <si>
    <t>U2OS</t>
  </si>
  <si>
    <t>"Mock 21% O2" in figure 6B (using cells from a single clone of U2OS), Hasvold et al Mol Cancer Ther 2013:</t>
  </si>
  <si>
    <t>Mock 21% O2 in figure 6A (U2OS cells), Hasvold et al Mol Cancer Ther 2013: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</si>
</sst>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0" fontId="1" fillId="0" borderId="0" xfId="0" applyFont="1"/>
    <xf numFmtId="2" fontId="1" fillId="2" borderId="0" xfId="0" applyNumberFormat="1" applyFont="1" applyFill="1"/>
    <xf numFmtId="2" fontId="1" fillId="0" borderId="0" xfId="0" applyNumberFormat="1" applyFont="1"/>
    <xf numFmtId="2" fontId="0" fillId="2" borderId="0" xfId="0" applyNumberFormat="1" applyFill="1"/>
    <xf numFmtId="2" fontId="0" fillId="0" borderId="0" xfId="0" applyNumberFormat="1"/>
    <xf numFmtId="2" fontId="1" fillId="0" borderId="0" xfId="0" applyNumberFormat="1" applyFon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12AA-134F-4B0A-889C-8D60307EDD95}">
  <dimension ref="A4:AD17"/>
  <sheetViews>
    <sheetView tabSelected="1" workbookViewId="0">
      <selection activeCell="R24" sqref="R24"/>
    </sheetView>
  </sheetViews>
  <sheetFormatPr defaultRowHeight="15" x14ac:dyDescent="0.25"/>
  <sheetData>
    <row r="4" spans="1:30" x14ac:dyDescent="0.25">
      <c r="A4" t="s">
        <v>11</v>
      </c>
    </row>
    <row r="5" spans="1:30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3</v>
      </c>
      <c r="H5" s="2" t="s">
        <v>4</v>
      </c>
      <c r="I5" s="2" t="s">
        <v>5</v>
      </c>
      <c r="J5" s="2" t="s">
        <v>3</v>
      </c>
      <c r="K5" s="2" t="s">
        <v>4</v>
      </c>
      <c r="L5" s="2" t="s">
        <v>5</v>
      </c>
      <c r="M5" s="2" t="s">
        <v>3</v>
      </c>
      <c r="N5" s="2" t="s">
        <v>4</v>
      </c>
      <c r="O5" s="2" t="s">
        <v>5</v>
      </c>
      <c r="P5" s="2" t="s">
        <v>3</v>
      </c>
      <c r="Q5" s="2" t="s">
        <v>4</v>
      </c>
      <c r="R5" s="2" t="s">
        <v>5</v>
      </c>
      <c r="S5" s="2" t="s">
        <v>3</v>
      </c>
      <c r="T5" s="2" t="s">
        <v>4</v>
      </c>
      <c r="U5" s="2" t="s">
        <v>5</v>
      </c>
      <c r="V5" s="2" t="s">
        <v>3</v>
      </c>
      <c r="W5" s="2" t="s">
        <v>4</v>
      </c>
      <c r="X5" s="2" t="s">
        <v>5</v>
      </c>
      <c r="Y5" s="2" t="s">
        <v>3</v>
      </c>
      <c r="Z5" s="2" t="s">
        <v>4</v>
      </c>
      <c r="AA5" s="2" t="s">
        <v>5</v>
      </c>
      <c r="AB5" s="3" t="s">
        <v>6</v>
      </c>
      <c r="AC5" s="4" t="s">
        <v>7</v>
      </c>
      <c r="AD5" s="4" t="s">
        <v>8</v>
      </c>
    </row>
    <row r="6" spans="1:30" x14ac:dyDescent="0.25">
      <c r="A6" t="s">
        <v>9</v>
      </c>
      <c r="B6">
        <v>0</v>
      </c>
      <c r="C6">
        <v>0.21</v>
      </c>
      <c r="D6">
        <v>0.95266272189349122</v>
      </c>
      <c r="E6">
        <v>1</v>
      </c>
      <c r="F6">
        <v>1.0473372781065089</v>
      </c>
      <c r="G6">
        <v>1.0344827586206897</v>
      </c>
      <c r="H6">
        <v>1.0287356321839081</v>
      </c>
      <c r="I6">
        <v>0.93678160919540221</v>
      </c>
      <c r="J6">
        <v>0.8896551724137931</v>
      </c>
      <c r="K6">
        <v>1.0896551724137933</v>
      </c>
      <c r="L6">
        <v>1.0206896551724138</v>
      </c>
      <c r="M6">
        <v>1.0135135135135136</v>
      </c>
      <c r="N6">
        <v>1.0135135135135136</v>
      </c>
      <c r="O6">
        <v>0.97297297297297303</v>
      </c>
      <c r="P6">
        <v>0.98533724340175954</v>
      </c>
      <c r="Q6">
        <v>1.0513196480938416</v>
      </c>
      <c r="R6">
        <v>0.96334310850439875</v>
      </c>
      <c r="S6">
        <v>1.0344827586206897</v>
      </c>
      <c r="T6">
        <v>0.94827586206896564</v>
      </c>
      <c r="U6">
        <v>1.0172413793103448</v>
      </c>
      <c r="V6">
        <v>0.98124999999999996</v>
      </c>
      <c r="W6">
        <v>0.95624999999999993</v>
      </c>
      <c r="X6">
        <v>1.0625</v>
      </c>
      <c r="Y6">
        <v>1.0137931034482759</v>
      </c>
      <c r="Z6">
        <v>1.0137931034482759</v>
      </c>
      <c r="AA6">
        <v>0.97241379310344822</v>
      </c>
      <c r="AB6" s="5">
        <f>AVERAGE(D6:AA6)</f>
        <v>1</v>
      </c>
      <c r="AC6" s="6">
        <f>STDEV(D6:AA6)</f>
        <v>4.5634796426815671E-2</v>
      </c>
      <c r="AD6" s="6">
        <f>AC6/SQRT(24)</f>
        <v>9.3151638134569524E-3</v>
      </c>
    </row>
    <row r="7" spans="1:30" x14ac:dyDescent="0.25">
      <c r="A7" t="s">
        <v>9</v>
      </c>
      <c r="B7">
        <v>2</v>
      </c>
      <c r="C7">
        <v>0.21</v>
      </c>
      <c r="D7">
        <v>0.42307692307692307</v>
      </c>
      <c r="E7">
        <v>0.47041420118343197</v>
      </c>
      <c r="F7">
        <v>0.5</v>
      </c>
      <c r="G7">
        <v>0.44252873563218392</v>
      </c>
      <c r="H7">
        <v>0.37643678160919541</v>
      </c>
      <c r="I7">
        <v>0.36781609195402298</v>
      </c>
      <c r="J7">
        <v>0.35517241379310349</v>
      </c>
      <c r="K7">
        <v>0.35172413793103452</v>
      </c>
      <c r="L7">
        <v>0.36551724137931035</v>
      </c>
      <c r="M7">
        <v>0.45752895752895756</v>
      </c>
      <c r="N7">
        <v>0.48359073359073362</v>
      </c>
      <c r="O7">
        <v>0.42567567567567571</v>
      </c>
      <c r="P7">
        <v>0.35850439882697943</v>
      </c>
      <c r="Q7">
        <v>0.37609970674486803</v>
      </c>
      <c r="R7">
        <v>0.41129032258064518</v>
      </c>
      <c r="S7">
        <v>0.47844827586206906</v>
      </c>
      <c r="T7">
        <v>0.50431034482758619</v>
      </c>
      <c r="U7">
        <v>0.46551724137931039</v>
      </c>
      <c r="V7">
        <v>0.38749999999999996</v>
      </c>
      <c r="W7">
        <v>0.35000000000000003</v>
      </c>
      <c r="X7">
        <v>0.33124999999999999</v>
      </c>
      <c r="Y7">
        <v>0.51724137931034486</v>
      </c>
      <c r="Z7">
        <v>0.5431034482758621</v>
      </c>
      <c r="AA7">
        <v>0.52758620689655178</v>
      </c>
      <c r="AB7" s="5">
        <f t="shared" ref="AB7:AB9" si="0">AVERAGE(D7:AA7)</f>
        <v>0.42793055075244951</v>
      </c>
      <c r="AC7" s="6">
        <f t="shared" ref="AC7:AC9" si="1">STDEV(D7:AA7)</f>
        <v>6.5370540691407408E-2</v>
      </c>
      <c r="AD7" s="6">
        <f t="shared" ref="AD7:AD9" si="2">AC7/SQRT(24)</f>
        <v>1.3343705741982735E-2</v>
      </c>
    </row>
    <row r="8" spans="1:30" x14ac:dyDescent="0.25">
      <c r="A8" t="s">
        <v>9</v>
      </c>
      <c r="B8">
        <v>4</v>
      </c>
      <c r="C8">
        <v>0.21</v>
      </c>
      <c r="D8">
        <v>5.6213017751479293E-2</v>
      </c>
      <c r="E8">
        <v>4.5857988165680472E-2</v>
      </c>
      <c r="F8">
        <v>4.3639053254437871E-2</v>
      </c>
      <c r="G8">
        <v>5.1724137931034482E-2</v>
      </c>
      <c r="H8">
        <v>5.3160919540229883E-2</v>
      </c>
      <c r="I8">
        <v>6.6091954022988508E-2</v>
      </c>
      <c r="J8">
        <v>4.8275862068965524E-2</v>
      </c>
      <c r="K8">
        <v>4.3965517241379315E-2</v>
      </c>
      <c r="L8">
        <v>4.6551724137931037E-2</v>
      </c>
      <c r="M8">
        <v>7.3841698841698847E-2</v>
      </c>
      <c r="N8">
        <v>6.4430501930501941E-2</v>
      </c>
      <c r="O8">
        <v>6.2982625482625482E-2</v>
      </c>
      <c r="P8">
        <v>4.7012463343108504E-2</v>
      </c>
      <c r="Q8">
        <v>4.783724340175953E-2</v>
      </c>
      <c r="R8">
        <v>4.6187683284457472E-2</v>
      </c>
      <c r="S8">
        <v>0.109375</v>
      </c>
      <c r="T8">
        <v>9.2672413793103453E-2</v>
      </c>
      <c r="U8">
        <v>9.0517241379310345E-2</v>
      </c>
      <c r="V8">
        <v>3.5546874999999999E-2</v>
      </c>
      <c r="W8">
        <v>3.6328125000000003E-2</v>
      </c>
      <c r="X8">
        <v>3.3203125E-2</v>
      </c>
      <c r="Y8">
        <v>7.3060344827586193E-2</v>
      </c>
      <c r="Z8">
        <v>8.2112068965517246E-2</v>
      </c>
      <c r="AA8">
        <v>8.9224137931034481E-2</v>
      </c>
      <c r="AB8" s="5">
        <f t="shared" si="0"/>
        <v>5.9992155095617915E-2</v>
      </c>
      <c r="AC8" s="6">
        <f t="shared" si="1"/>
        <v>2.0603868261745813E-2</v>
      </c>
      <c r="AD8" s="6">
        <f t="shared" si="2"/>
        <v>4.2057469974001874E-3</v>
      </c>
    </row>
    <row r="9" spans="1:30" x14ac:dyDescent="0.25">
      <c r="A9" t="s">
        <v>9</v>
      </c>
      <c r="B9">
        <v>6</v>
      </c>
      <c r="C9">
        <v>0.21</v>
      </c>
      <c r="D9">
        <v>1.4792899408284025E-3</v>
      </c>
      <c r="E9">
        <v>1.8491124260355031E-3</v>
      </c>
      <c r="F9">
        <v>4.9926035502958583E-3</v>
      </c>
      <c r="G9">
        <v>3.0531609195402301E-3</v>
      </c>
      <c r="H9">
        <v>6.8247126436781613E-3</v>
      </c>
      <c r="I9">
        <v>7.3635057471264365E-3</v>
      </c>
      <c r="J9">
        <v>3.4482758620689659E-3</v>
      </c>
      <c r="K9">
        <v>3.8793103448275862E-3</v>
      </c>
      <c r="L9">
        <v>2.3706896551724138E-3</v>
      </c>
      <c r="M9">
        <v>1.2849903474903475E-2</v>
      </c>
      <c r="N9">
        <v>8.325289575289576E-3</v>
      </c>
      <c r="O9">
        <v>4.8865830115830122E-3</v>
      </c>
      <c r="P9">
        <v>4.7507331378299125E-3</v>
      </c>
      <c r="Q9">
        <v>3.4310850439882696E-3</v>
      </c>
      <c r="R9">
        <v>3.7829912023460408E-3</v>
      </c>
      <c r="S9">
        <v>1.2758620689655173E-2</v>
      </c>
      <c r="T9">
        <v>1.3620689655172416E-2</v>
      </c>
      <c r="U9">
        <v>1.6551724137931035E-2</v>
      </c>
      <c r="V9">
        <v>4.1249999999999993E-3</v>
      </c>
      <c r="W9">
        <v>3.4999999999999996E-3</v>
      </c>
      <c r="X9">
        <v>1.8749999999999999E-3</v>
      </c>
      <c r="Y9">
        <v>8.0689655172413791E-3</v>
      </c>
      <c r="Z9">
        <v>5.9999999999999993E-3</v>
      </c>
      <c r="AA9">
        <v>1.1379310344827585E-2</v>
      </c>
      <c r="AB9" s="5">
        <f t="shared" si="0"/>
        <v>6.2986065366808933E-3</v>
      </c>
      <c r="AC9" s="6">
        <f t="shared" si="1"/>
        <v>4.2409996199869659E-3</v>
      </c>
      <c r="AD9" s="6">
        <f t="shared" si="2"/>
        <v>8.6569042235878587E-4</v>
      </c>
    </row>
    <row r="10" spans="1:30" x14ac:dyDescent="0.25">
      <c r="AB10" s="6"/>
      <c r="AC10" s="6"/>
      <c r="AD10" s="6"/>
    </row>
    <row r="11" spans="1:30" x14ac:dyDescent="0.25">
      <c r="AB11" s="6"/>
      <c r="AC11" s="6"/>
      <c r="AD11" s="6"/>
    </row>
    <row r="12" spans="1:30" x14ac:dyDescent="0.25">
      <c r="A12" t="s">
        <v>12</v>
      </c>
      <c r="AB12" s="6"/>
      <c r="AC12" s="6"/>
      <c r="AD12" s="6"/>
    </row>
    <row r="13" spans="1:30" x14ac:dyDescent="0.25">
      <c r="A13" s="2" t="s">
        <v>10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3</v>
      </c>
      <c r="H13" s="2" t="s">
        <v>4</v>
      </c>
      <c r="I13" s="2" t="s">
        <v>5</v>
      </c>
      <c r="J13" s="2" t="s">
        <v>3</v>
      </c>
      <c r="K13" s="2" t="s">
        <v>4</v>
      </c>
      <c r="L13" s="2" t="s">
        <v>5</v>
      </c>
      <c r="M13" s="2" t="s">
        <v>3</v>
      </c>
      <c r="N13" s="2" t="s">
        <v>4</v>
      </c>
      <c r="O13" s="2" t="s">
        <v>5</v>
      </c>
      <c r="P13" s="2" t="s">
        <v>3</v>
      </c>
      <c r="Q13" s="2" t="s">
        <v>4</v>
      </c>
      <c r="R13" s="2" t="s">
        <v>5</v>
      </c>
      <c r="S13" s="3" t="s">
        <v>6</v>
      </c>
      <c r="T13" s="4" t="s">
        <v>7</v>
      </c>
      <c r="U13" s="4" t="s">
        <v>8</v>
      </c>
      <c r="V13" s="2"/>
      <c r="W13" s="2"/>
      <c r="X13" s="2"/>
      <c r="Y13" s="2"/>
      <c r="Z13" s="2"/>
      <c r="AA13" s="2"/>
      <c r="AB13" s="7"/>
      <c r="AC13" s="4"/>
      <c r="AD13" s="4"/>
    </row>
    <row r="14" spans="1:30" x14ac:dyDescent="0.25">
      <c r="A14" t="s">
        <v>9</v>
      </c>
      <c r="B14">
        <v>0</v>
      </c>
      <c r="C14" s="1">
        <v>0.21</v>
      </c>
      <c r="D14">
        <v>1.1216617210682494</v>
      </c>
      <c r="E14">
        <v>0.96142433234421365</v>
      </c>
      <c r="F14">
        <v>0.91691394658753711</v>
      </c>
      <c r="G14">
        <v>1.0543130990415335</v>
      </c>
      <c r="H14">
        <v>0.9488817891373803</v>
      </c>
      <c r="I14">
        <v>0.99680511182108644</v>
      </c>
      <c r="J14">
        <v>0.97972972972972971</v>
      </c>
      <c r="K14">
        <v>0.97972972972972971</v>
      </c>
      <c r="L14">
        <v>1.0405405405405406</v>
      </c>
      <c r="M14">
        <v>1.0725</v>
      </c>
      <c r="N14">
        <v>1.0199999999999998</v>
      </c>
      <c r="O14">
        <v>0.90749999999999986</v>
      </c>
      <c r="P14">
        <v>1.1942675159235669</v>
      </c>
      <c r="Q14">
        <v>0.93630573248407634</v>
      </c>
      <c r="R14">
        <v>0.86942675159235661</v>
      </c>
      <c r="S14" s="5">
        <f>AVERAGE(D14:R14)</f>
        <v>1.0000000000000002</v>
      </c>
      <c r="T14" s="6">
        <f>STDEV(D14:R14)</f>
        <v>8.6309304289866037E-2</v>
      </c>
      <c r="U14" s="6">
        <f>T14/SQRT(15)</f>
        <v>2.22849665424933E-2</v>
      </c>
      <c r="AB14" s="8"/>
      <c r="AC14" s="6"/>
      <c r="AD14" s="6"/>
    </row>
    <row r="15" spans="1:30" x14ac:dyDescent="0.25">
      <c r="A15" t="s">
        <v>9</v>
      </c>
      <c r="B15">
        <v>2</v>
      </c>
      <c r="C15" s="1">
        <v>0.21</v>
      </c>
      <c r="D15">
        <v>0.5029673590504451</v>
      </c>
      <c r="E15">
        <v>0.5741839762611276</v>
      </c>
      <c r="F15">
        <v>0.60089020771513357</v>
      </c>
      <c r="G15">
        <v>0.29233226837060705</v>
      </c>
      <c r="H15">
        <v>0.39776357827476044</v>
      </c>
      <c r="I15">
        <v>0.41693290734824284</v>
      </c>
      <c r="J15">
        <v>0.5135135135135136</v>
      </c>
      <c r="K15">
        <v>0.48310810810810811</v>
      </c>
      <c r="L15">
        <v>0.53040540540540537</v>
      </c>
      <c r="M15">
        <v>0.37874999999999998</v>
      </c>
      <c r="N15">
        <v>0.31874999999999998</v>
      </c>
      <c r="O15">
        <v>0.38624999999999998</v>
      </c>
      <c r="P15">
        <v>0.43949044585987257</v>
      </c>
      <c r="Q15">
        <v>0.39649681528662417</v>
      </c>
      <c r="R15">
        <v>0.40127388535031849</v>
      </c>
      <c r="S15" s="5">
        <f t="shared" ref="S15:S17" si="3">AVERAGE(D15:R15)</f>
        <v>0.44220723136961054</v>
      </c>
      <c r="T15" s="6">
        <f t="shared" ref="T15:T17" si="4">STDEV(D15:R15)</f>
        <v>8.9472638628785947E-2</v>
      </c>
      <c r="U15" s="6">
        <f t="shared" ref="U15:U17" si="5">T15/SQRT(15)</f>
        <v>2.3101735956701491E-2</v>
      </c>
      <c r="AB15" s="8"/>
      <c r="AC15" s="6"/>
      <c r="AD15" s="6"/>
    </row>
    <row r="16" spans="1:30" x14ac:dyDescent="0.25">
      <c r="A16" t="s">
        <v>9</v>
      </c>
      <c r="B16">
        <v>4</v>
      </c>
      <c r="C16" s="1">
        <v>0.21</v>
      </c>
      <c r="D16">
        <v>0.14910979228486648</v>
      </c>
      <c r="E16">
        <v>0.1580118694362018</v>
      </c>
      <c r="F16">
        <v>0.10237388724035608</v>
      </c>
      <c r="G16">
        <v>5.2715654952076682E-2</v>
      </c>
      <c r="H16">
        <v>4.3130990415335468E-2</v>
      </c>
      <c r="I16">
        <v>9.584664536741215E-2</v>
      </c>
      <c r="J16">
        <v>3.20945945945946E-2</v>
      </c>
      <c r="K16">
        <v>0.10135135135135136</v>
      </c>
      <c r="L16">
        <v>7.4324324324324328E-2</v>
      </c>
      <c r="M16">
        <v>5.8124999999999996E-2</v>
      </c>
      <c r="N16">
        <v>5.0624999999999996E-2</v>
      </c>
      <c r="O16">
        <v>5.2499999999999998E-2</v>
      </c>
      <c r="P16">
        <v>7.4044585987261144E-2</v>
      </c>
      <c r="Q16">
        <v>5.2547770700636938E-2</v>
      </c>
      <c r="R16">
        <v>4.7770700636942671E-2</v>
      </c>
      <c r="S16" s="5">
        <f t="shared" si="3"/>
        <v>7.6304811152757321E-2</v>
      </c>
      <c r="T16" s="6">
        <f t="shared" si="4"/>
        <v>3.800485157787805E-2</v>
      </c>
      <c r="U16" s="6">
        <f t="shared" si="5"/>
        <v>9.8128104824137564E-3</v>
      </c>
      <c r="AB16" s="8"/>
      <c r="AC16" s="6"/>
      <c r="AD16" s="6"/>
    </row>
    <row r="17" spans="1:30" x14ac:dyDescent="0.25">
      <c r="A17" t="s">
        <v>9</v>
      </c>
      <c r="B17">
        <v>6</v>
      </c>
      <c r="C17" s="1">
        <v>0.21</v>
      </c>
      <c r="G17">
        <v>0</v>
      </c>
      <c r="H17">
        <v>8.3865814696485637E-3</v>
      </c>
      <c r="I17">
        <v>1.1980830670926519E-3</v>
      </c>
      <c r="J17">
        <v>2.5337837837837839E-3</v>
      </c>
      <c r="K17">
        <v>1.1824324324324325E-2</v>
      </c>
      <c r="L17">
        <v>1.266891891891892E-2</v>
      </c>
      <c r="M17">
        <v>3.7499999999999999E-3</v>
      </c>
      <c r="N17">
        <v>9.3749999999999997E-3</v>
      </c>
      <c r="O17">
        <v>1.0312499999999999E-2</v>
      </c>
      <c r="P17">
        <v>3.5828025477707003E-3</v>
      </c>
      <c r="Q17">
        <v>4.7770700636942673E-3</v>
      </c>
      <c r="R17">
        <v>2.3885350318471337E-3</v>
      </c>
      <c r="S17" s="5">
        <f t="shared" si="3"/>
        <v>5.8997999339233621E-3</v>
      </c>
      <c r="T17" s="6">
        <f t="shared" si="4"/>
        <v>4.37427860609219E-3</v>
      </c>
      <c r="U17" s="6">
        <f>T17/SQRT(12)</f>
        <v>1.2627454653688734E-3</v>
      </c>
      <c r="AB17" s="8"/>
      <c r="AC17" s="6"/>
      <c r="AD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 Gussgard Syljuåsen</dc:creator>
  <cp:lastModifiedBy>Randi Gussgard Syljuåsen</cp:lastModifiedBy>
  <dcterms:created xsi:type="dcterms:W3CDTF">2026-03-26T15:27:33Z</dcterms:created>
  <dcterms:modified xsi:type="dcterms:W3CDTF">2026-03-26T15:37:04Z</dcterms:modified>
</cp:coreProperties>
</file>