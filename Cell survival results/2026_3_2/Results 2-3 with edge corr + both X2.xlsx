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783" documentId="11_E60897F41BE170836B02CE998F75CCDC64E183C8" xr6:coauthVersionLast="47" xr6:coauthVersionMax="47" xr10:uidLastSave="{96E4A689-A659-418E-8794-B418709C3DD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B36" i="1"/>
</calcChain>
</file>

<file path=xl/sharedStrings.xml><?xml version="1.0" encoding="utf-8"?>
<sst xmlns="http://schemas.openxmlformats.org/spreadsheetml/2006/main" count="59" uniqueCount="13">
  <si>
    <t>Flask nr</t>
  </si>
  <si>
    <t>Count</t>
  </si>
  <si>
    <t>Edge corr</t>
  </si>
  <si>
    <t>Final coun</t>
  </si>
  <si>
    <t>Dose</t>
  </si>
  <si>
    <t>Rad</t>
  </si>
  <si>
    <t>Triplicate</t>
  </si>
  <si>
    <t>Column1</t>
  </si>
  <si>
    <t>Proton H</t>
  </si>
  <si>
    <t>Proton M</t>
  </si>
  <si>
    <t>Proton L</t>
  </si>
  <si>
    <t>X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</si>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</sst>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4D170-2527-4024-AD7D-C4F205DDD90D}" name="Table1" displayName="Table1" ref="A1:H52" totalsRowShown="0" headerRowDxfId="1">
  <autoFilter ref="A1:H52" xr:uid="{5D74D170-2527-4024-AD7D-C4F205DDD90D}"/>
  <sortState xmlns:xlrd2="http://schemas.microsoft.com/office/spreadsheetml/2017/richdata2" ref="A2:H52">
    <sortCondition ref="A1:A52"/>
  </sortState>
  <tableColumns count="8">
    <tableColumn id="1" xr3:uid="{456B04E8-B378-43A1-B936-67C7E2A1A9DA}" name="Flask nr"/>
    <tableColumn id="2" xr3:uid="{5CD7085D-BC89-4F86-8280-1EACCC045286}" name="Count"/>
    <tableColumn id="7" xr3:uid="{B8B2BECC-E51B-40FE-A070-BA1C2AD3395C}" name="Edge corr"/>
    <tableColumn id="8" xr3:uid="{03D92AAC-FA48-42FC-AFFB-D672922455ED}" name="Final coun" dataDxfId="0">
      <calculatedColumnFormula>Table1[[#This Row],[Count]]-Table1[[#This Row],[Edge corr]]</calculatedColumnFormula>
    </tableColumn>
    <tableColumn id="3" xr3:uid="{98400C94-05DA-4B47-AB17-DD524B546F0B}" name="Dose"/>
    <tableColumn id="4" xr3:uid="{77BCA077-DD3D-4812-AAD5-90EB93CE7B27}" name="Rad"/>
    <tableColumn id="5" xr3:uid="{24EEB5CF-65A9-4D36-8B2F-94213A5AFCB6}" name="Triplicate"/>
    <tableColumn id="6" xr3:uid="{B7C3E4BB-68D0-412E-969E-F2F6B80DE3B0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D3" sqref="D3"/>
    </sheetView>
  </sheetViews>
  <sheetFormatPr defaultRowHeight="15"/>
  <cols>
    <col min="1" max="1" width="10.28515625" bestFit="1" customWidth="1"/>
    <col min="5" max="5" width="11.71093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97</v>
      </c>
      <c r="C2">
        <v>15</v>
      </c>
      <c r="D2">
        <f>Table1[[#This Row],[Count]]-Table1[[#This Row],[Edge corr]]</f>
        <v>82</v>
      </c>
      <c r="E2">
        <v>2</v>
      </c>
      <c r="F2" t="s">
        <v>8</v>
      </c>
      <c r="G2">
        <v>2</v>
      </c>
    </row>
    <row r="3" spans="1:8">
      <c r="A3">
        <v>2</v>
      </c>
      <c r="B3">
        <v>86</v>
      </c>
      <c r="C3">
        <v>13</v>
      </c>
      <c r="D3">
        <f>Table1[[#This Row],[Count]]-Table1[[#This Row],[Edge corr]]</f>
        <v>73</v>
      </c>
      <c r="E3">
        <v>2</v>
      </c>
      <c r="F3" t="s">
        <v>8</v>
      </c>
      <c r="G3">
        <v>1</v>
      </c>
    </row>
    <row r="4" spans="1:8">
      <c r="A4">
        <v>3</v>
      </c>
      <c r="B4">
        <v>10</v>
      </c>
      <c r="C4">
        <v>2</v>
      </c>
      <c r="D4">
        <f>Table1[[#This Row],[Count]]-Table1[[#This Row],[Edge corr]]</f>
        <v>8</v>
      </c>
      <c r="E4">
        <v>8</v>
      </c>
      <c r="F4" t="s">
        <v>9</v>
      </c>
      <c r="G4">
        <v>3</v>
      </c>
    </row>
    <row r="5" spans="1:8">
      <c r="A5">
        <v>4</v>
      </c>
      <c r="B5">
        <v>85</v>
      </c>
      <c r="C5">
        <v>7</v>
      </c>
      <c r="D5">
        <f>Table1[[#This Row],[Count]]-Table1[[#This Row],[Edge corr]]</f>
        <v>78</v>
      </c>
      <c r="E5">
        <v>5</v>
      </c>
      <c r="F5" t="s">
        <v>10</v>
      </c>
      <c r="G5">
        <v>3</v>
      </c>
    </row>
    <row r="6" spans="1:8">
      <c r="A6">
        <v>5</v>
      </c>
      <c r="B6">
        <v>63</v>
      </c>
      <c r="C6">
        <v>11</v>
      </c>
      <c r="D6">
        <f>Table1[[#This Row],[Count]]-Table1[[#This Row],[Edge corr]]</f>
        <v>52</v>
      </c>
      <c r="E6">
        <v>8</v>
      </c>
      <c r="F6" t="s">
        <v>10</v>
      </c>
      <c r="G6">
        <v>1</v>
      </c>
    </row>
    <row r="7" spans="1:8">
      <c r="A7">
        <v>6</v>
      </c>
      <c r="B7">
        <v>55</v>
      </c>
      <c r="C7">
        <v>53</v>
      </c>
      <c r="D7">
        <f>Table1[[#This Row],[Count]]-Table1[[#This Row],[Edge corr]]</f>
        <v>2</v>
      </c>
      <c r="E7">
        <v>8</v>
      </c>
      <c r="F7" t="s">
        <v>8</v>
      </c>
      <c r="G7">
        <v>2</v>
      </c>
    </row>
    <row r="8" spans="1:8">
      <c r="A8">
        <v>7</v>
      </c>
      <c r="B8" s="2">
        <v>122</v>
      </c>
      <c r="C8" s="2">
        <v>8</v>
      </c>
      <c r="D8" s="2">
        <f>Table1[[#This Row],[Count]]-Table1[[#This Row],[Edge corr]]</f>
        <v>114</v>
      </c>
      <c r="E8">
        <v>2</v>
      </c>
      <c r="F8" t="s">
        <v>10</v>
      </c>
      <c r="G8">
        <v>3</v>
      </c>
    </row>
    <row r="9" spans="1:8">
      <c r="A9">
        <v>8</v>
      </c>
      <c r="B9">
        <v>94</v>
      </c>
      <c r="C9">
        <v>19</v>
      </c>
      <c r="D9">
        <f>Table1[[#This Row],[Count]]-Table1[[#This Row],[Edge corr]]</f>
        <v>75</v>
      </c>
      <c r="E9">
        <v>2</v>
      </c>
      <c r="F9" t="s">
        <v>8</v>
      </c>
      <c r="G9">
        <v>3</v>
      </c>
    </row>
    <row r="10" spans="1:8">
      <c r="A10">
        <v>9</v>
      </c>
      <c r="B10">
        <v>40</v>
      </c>
      <c r="C10">
        <v>15</v>
      </c>
      <c r="D10">
        <f>Table1[[#This Row],[Count]]-Table1[[#This Row],[Edge corr]]</f>
        <v>25</v>
      </c>
      <c r="E10">
        <v>2</v>
      </c>
      <c r="F10" t="s">
        <v>9</v>
      </c>
      <c r="G10">
        <v>3</v>
      </c>
    </row>
    <row r="11" spans="1:8">
      <c r="A11">
        <v>10</v>
      </c>
      <c r="B11">
        <v>99</v>
      </c>
      <c r="C11">
        <v>17</v>
      </c>
      <c r="D11">
        <f>Table1[[#This Row],[Count]]-Table1[[#This Row],[Edge corr]]</f>
        <v>82</v>
      </c>
      <c r="E11">
        <v>2</v>
      </c>
      <c r="F11" t="s">
        <v>10</v>
      </c>
      <c r="G11">
        <v>2</v>
      </c>
    </row>
    <row r="12" spans="1:8">
      <c r="A12">
        <v>11</v>
      </c>
      <c r="B12">
        <v>65</v>
      </c>
      <c r="C12">
        <v>55</v>
      </c>
      <c r="D12">
        <f>Table1[[#This Row],[Count]]-Table1[[#This Row],[Edge corr]]</f>
        <v>10</v>
      </c>
      <c r="E12">
        <v>8</v>
      </c>
      <c r="F12" t="s">
        <v>8</v>
      </c>
      <c r="G12">
        <v>3</v>
      </c>
    </row>
    <row r="13" spans="1:8">
      <c r="A13">
        <v>12</v>
      </c>
      <c r="B13">
        <v>32</v>
      </c>
      <c r="C13">
        <v>4</v>
      </c>
      <c r="D13">
        <f>Table1[[#This Row],[Count]]-Table1[[#This Row],[Edge corr]]</f>
        <v>28</v>
      </c>
      <c r="E13">
        <v>2</v>
      </c>
      <c r="F13" t="s">
        <v>11</v>
      </c>
      <c r="G13">
        <v>2</v>
      </c>
      <c r="H13">
        <v>250</v>
      </c>
    </row>
    <row r="14" spans="1:8">
      <c r="A14">
        <v>13</v>
      </c>
      <c r="B14">
        <v>9</v>
      </c>
      <c r="C14">
        <v>0</v>
      </c>
      <c r="D14">
        <f>Table1[[#This Row],[Count]]-Table1[[#This Row],[Edge corr]]</f>
        <v>9</v>
      </c>
      <c r="E14">
        <v>8</v>
      </c>
      <c r="F14" t="s">
        <v>9</v>
      </c>
      <c r="G14">
        <v>2</v>
      </c>
    </row>
    <row r="15" spans="1:8">
      <c r="A15">
        <v>14</v>
      </c>
      <c r="B15">
        <v>61</v>
      </c>
      <c r="C15">
        <v>6</v>
      </c>
      <c r="D15">
        <f>Table1[[#This Row],[Count]]-Table1[[#This Row],[Edge corr]]</f>
        <v>55</v>
      </c>
      <c r="E15">
        <v>0</v>
      </c>
      <c r="F15" t="s">
        <v>11</v>
      </c>
      <c r="G15">
        <v>1</v>
      </c>
    </row>
    <row r="16" spans="1:8">
      <c r="A16">
        <v>15</v>
      </c>
      <c r="B16">
        <v>8</v>
      </c>
      <c r="C16">
        <v>0</v>
      </c>
      <c r="D16">
        <f>Table1[[#This Row],[Count]]-Table1[[#This Row],[Edge corr]]</f>
        <v>8</v>
      </c>
      <c r="E16">
        <v>8</v>
      </c>
      <c r="F16" t="s">
        <v>9</v>
      </c>
      <c r="G16">
        <v>1</v>
      </c>
    </row>
    <row r="17" spans="1:8">
      <c r="A17">
        <v>16</v>
      </c>
      <c r="B17" s="2">
        <v>65</v>
      </c>
      <c r="C17" s="2">
        <v>11</v>
      </c>
      <c r="D17" s="2">
        <f>Table1[[#This Row],[Count]]-Table1[[#This Row],[Edge corr]]</f>
        <v>54</v>
      </c>
      <c r="E17">
        <v>2</v>
      </c>
      <c r="F17" t="s">
        <v>9</v>
      </c>
      <c r="G17">
        <v>2</v>
      </c>
    </row>
    <row r="18" spans="1:8">
      <c r="A18">
        <v>17</v>
      </c>
      <c r="B18">
        <v>72</v>
      </c>
      <c r="C18">
        <v>11</v>
      </c>
      <c r="D18">
        <f>Table1[[#This Row],[Count]]-Table1[[#This Row],[Edge corr]]</f>
        <v>61</v>
      </c>
      <c r="E18">
        <v>5</v>
      </c>
      <c r="F18" t="s">
        <v>11</v>
      </c>
      <c r="G18">
        <v>2</v>
      </c>
    </row>
    <row r="19" spans="1:8">
      <c r="A19">
        <v>18</v>
      </c>
      <c r="B19">
        <v>106</v>
      </c>
      <c r="C19">
        <v>23</v>
      </c>
      <c r="D19">
        <f>Table1[[#This Row],[Count]]-Table1[[#This Row],[Edge corr]]</f>
        <v>83</v>
      </c>
      <c r="E19">
        <v>0</v>
      </c>
      <c r="F19" t="s">
        <v>12</v>
      </c>
      <c r="G19">
        <v>2</v>
      </c>
    </row>
    <row r="20" spans="1:8">
      <c r="A20">
        <v>19</v>
      </c>
      <c r="B20" s="2">
        <v>32</v>
      </c>
      <c r="C20" s="2">
        <v>4</v>
      </c>
      <c r="D20" s="2">
        <f>Table1[[#This Row],[Count]]-Table1[[#This Row],[Edge corr]]</f>
        <v>28</v>
      </c>
      <c r="E20">
        <v>5</v>
      </c>
      <c r="F20" t="s">
        <v>9</v>
      </c>
      <c r="G20">
        <v>1</v>
      </c>
    </row>
    <row r="21" spans="1:8">
      <c r="A21">
        <v>20</v>
      </c>
      <c r="B21">
        <v>83</v>
      </c>
      <c r="C21">
        <v>13</v>
      </c>
      <c r="D21">
        <f>Table1[[#This Row],[Count]]-Table1[[#This Row],[Edge corr]]</f>
        <v>70</v>
      </c>
      <c r="E21">
        <v>8</v>
      </c>
      <c r="F21" t="s">
        <v>10</v>
      </c>
      <c r="G21">
        <v>2</v>
      </c>
    </row>
    <row r="22" spans="1:8">
      <c r="A22">
        <v>21</v>
      </c>
      <c r="B22">
        <v>80</v>
      </c>
      <c r="C22">
        <v>5</v>
      </c>
      <c r="D22">
        <f>Table1[[#This Row],[Count]]-Table1[[#This Row],[Edge corr]]</f>
        <v>75</v>
      </c>
      <c r="E22">
        <v>0</v>
      </c>
      <c r="F22" t="s">
        <v>11</v>
      </c>
      <c r="G22">
        <v>6</v>
      </c>
    </row>
    <row r="23" spans="1:8">
      <c r="A23">
        <v>22</v>
      </c>
      <c r="B23">
        <v>55</v>
      </c>
      <c r="C23">
        <v>54</v>
      </c>
      <c r="D23">
        <f>Table1[[#This Row],[Count]]-Table1[[#This Row],[Edge corr]]</f>
        <v>1</v>
      </c>
      <c r="E23">
        <v>8</v>
      </c>
      <c r="F23" t="s">
        <v>8</v>
      </c>
      <c r="G23">
        <v>1</v>
      </c>
    </row>
    <row r="24" spans="1:8">
      <c r="A24">
        <v>23</v>
      </c>
      <c r="B24">
        <v>66</v>
      </c>
      <c r="C24">
        <v>5</v>
      </c>
      <c r="D24">
        <f>Table1[[#This Row],[Count]]-Table1[[#This Row],[Edge corr]]</f>
        <v>61</v>
      </c>
      <c r="E24">
        <v>0</v>
      </c>
      <c r="F24" t="s">
        <v>11</v>
      </c>
      <c r="G24">
        <v>4</v>
      </c>
    </row>
    <row r="25" spans="1:8">
      <c r="A25">
        <v>24</v>
      </c>
      <c r="B25">
        <v>101</v>
      </c>
      <c r="C25">
        <v>6</v>
      </c>
      <c r="D25">
        <f>Table1[[#This Row],[Count]]-Table1[[#This Row],[Edge corr]]</f>
        <v>95</v>
      </c>
      <c r="E25">
        <v>0</v>
      </c>
      <c r="F25" t="s">
        <v>12</v>
      </c>
      <c r="G25">
        <v>4</v>
      </c>
    </row>
    <row r="26" spans="1:8">
      <c r="A26">
        <v>25</v>
      </c>
      <c r="B26">
        <v>50</v>
      </c>
      <c r="C26">
        <v>11</v>
      </c>
      <c r="D26">
        <f>Table1[[#This Row],[Count]]-Table1[[#This Row],[Edge corr]]</f>
        <v>39</v>
      </c>
      <c r="E26">
        <v>8</v>
      </c>
      <c r="F26" t="s">
        <v>11</v>
      </c>
      <c r="G26">
        <v>3</v>
      </c>
    </row>
    <row r="27" spans="1:8">
      <c r="A27">
        <v>26</v>
      </c>
      <c r="B27">
        <v>53</v>
      </c>
      <c r="C27">
        <v>10</v>
      </c>
      <c r="D27">
        <f>Table1[[#This Row],[Count]]-Table1[[#This Row],[Edge corr]]</f>
        <v>43</v>
      </c>
      <c r="E27">
        <v>8</v>
      </c>
      <c r="F27" t="s">
        <v>10</v>
      </c>
      <c r="G27">
        <v>3</v>
      </c>
    </row>
    <row r="28" spans="1:8">
      <c r="A28">
        <v>27</v>
      </c>
      <c r="B28">
        <v>31</v>
      </c>
      <c r="C28">
        <v>7</v>
      </c>
      <c r="D28">
        <f>Table1[[#This Row],[Count]]-Table1[[#This Row],[Edge corr]]</f>
        <v>24</v>
      </c>
      <c r="E28">
        <v>8</v>
      </c>
      <c r="F28" t="s">
        <v>11</v>
      </c>
      <c r="G28">
        <v>2</v>
      </c>
    </row>
    <row r="29" spans="1:8">
      <c r="A29">
        <v>28</v>
      </c>
      <c r="B29">
        <v>59</v>
      </c>
      <c r="C29">
        <v>10</v>
      </c>
      <c r="D29">
        <f>Table1[[#This Row],[Count]]-Table1[[#This Row],[Edge corr]]</f>
        <v>49</v>
      </c>
      <c r="E29">
        <v>2</v>
      </c>
      <c r="F29" t="s">
        <v>11</v>
      </c>
      <c r="G29">
        <v>2</v>
      </c>
      <c r="H29">
        <v>500</v>
      </c>
    </row>
    <row r="30" spans="1:8">
      <c r="A30">
        <v>29</v>
      </c>
      <c r="B30">
        <v>91</v>
      </c>
      <c r="C30">
        <v>11</v>
      </c>
      <c r="D30">
        <f>Table1[[#This Row],[Count]]-Table1[[#This Row],[Edge corr]]</f>
        <v>80</v>
      </c>
      <c r="E30">
        <v>2</v>
      </c>
      <c r="F30" t="s">
        <v>10</v>
      </c>
      <c r="G30">
        <v>1</v>
      </c>
    </row>
    <row r="31" spans="1:8">
      <c r="A31">
        <v>30</v>
      </c>
      <c r="B31">
        <v>61</v>
      </c>
      <c r="C31">
        <v>39</v>
      </c>
      <c r="D31">
        <f>Table1[[#This Row],[Count]]-Table1[[#This Row],[Edge corr]]</f>
        <v>22</v>
      </c>
      <c r="E31">
        <v>5</v>
      </c>
      <c r="F31" t="s">
        <v>8</v>
      </c>
      <c r="G31">
        <v>2</v>
      </c>
    </row>
    <row r="32" spans="1:8">
      <c r="A32">
        <v>31</v>
      </c>
      <c r="B32">
        <v>116</v>
      </c>
      <c r="C32">
        <v>19</v>
      </c>
      <c r="D32">
        <f>Table1[[#This Row],[Count]]-Table1[[#This Row],[Edge corr]]</f>
        <v>97</v>
      </c>
      <c r="E32">
        <v>0</v>
      </c>
      <c r="F32" t="s">
        <v>12</v>
      </c>
      <c r="G32">
        <v>1</v>
      </c>
    </row>
    <row r="33" spans="1:8">
      <c r="A33">
        <v>32</v>
      </c>
      <c r="B33">
        <v>68</v>
      </c>
      <c r="C33">
        <v>44</v>
      </c>
      <c r="D33">
        <f>Table1[[#This Row],[Count]]-Table1[[#This Row],[Edge corr]]</f>
        <v>24</v>
      </c>
      <c r="E33">
        <v>5</v>
      </c>
      <c r="F33" t="s">
        <v>8</v>
      </c>
      <c r="G33">
        <v>3</v>
      </c>
    </row>
    <row r="34" spans="1:8">
      <c r="A34">
        <v>33</v>
      </c>
      <c r="B34">
        <v>60</v>
      </c>
      <c r="C34">
        <v>10</v>
      </c>
      <c r="D34">
        <f>Table1[[#This Row],[Count]]-Table1[[#This Row],[Edge corr]]</f>
        <v>50</v>
      </c>
      <c r="E34">
        <v>2</v>
      </c>
      <c r="F34" t="s">
        <v>11</v>
      </c>
      <c r="G34">
        <v>3</v>
      </c>
      <c r="H34">
        <v>500</v>
      </c>
    </row>
    <row r="35" spans="1:8">
      <c r="A35">
        <v>34</v>
      </c>
      <c r="B35">
        <v>35</v>
      </c>
      <c r="C35">
        <v>8</v>
      </c>
      <c r="D35">
        <f>Table1[[#This Row],[Count]]-Table1[[#This Row],[Edge corr]]</f>
        <v>27</v>
      </c>
      <c r="E35">
        <v>8</v>
      </c>
      <c r="F35" t="s">
        <v>11</v>
      </c>
      <c r="G35">
        <v>1</v>
      </c>
    </row>
    <row r="36" spans="1:8">
      <c r="A36">
        <v>35</v>
      </c>
      <c r="B36">
        <f>101/1.1</f>
        <v>91.818181818181813</v>
      </c>
      <c r="C36">
        <v>8</v>
      </c>
      <c r="D36">
        <f>Table1[[#This Row],[Count]]-Table1[[#This Row],[Edge corr]]</f>
        <v>83.818181818181813</v>
      </c>
      <c r="E36">
        <v>0</v>
      </c>
      <c r="F36" t="s">
        <v>11</v>
      </c>
      <c r="G36">
        <v>3</v>
      </c>
    </row>
    <row r="37" spans="1:8">
      <c r="A37">
        <v>36</v>
      </c>
      <c r="B37">
        <v>18</v>
      </c>
      <c r="C37">
        <v>0</v>
      </c>
      <c r="D37">
        <f>Table1[[#This Row],[Count]]-Table1[[#This Row],[Edge corr]]</f>
        <v>18</v>
      </c>
      <c r="E37">
        <v>5</v>
      </c>
      <c r="F37" t="s">
        <v>9</v>
      </c>
      <c r="G37">
        <v>3</v>
      </c>
    </row>
    <row r="38" spans="1:8">
      <c r="A38">
        <v>37</v>
      </c>
      <c r="B38">
        <v>57</v>
      </c>
      <c r="C38">
        <v>9</v>
      </c>
      <c r="D38">
        <f>Table1[[#This Row],[Count]]-Table1[[#This Row],[Edge corr]]</f>
        <v>48</v>
      </c>
      <c r="E38">
        <v>0</v>
      </c>
      <c r="F38" t="s">
        <v>11</v>
      </c>
      <c r="G38">
        <v>5</v>
      </c>
    </row>
    <row r="39" spans="1:8">
      <c r="A39">
        <v>38</v>
      </c>
      <c r="B39">
        <v>33</v>
      </c>
      <c r="C39">
        <v>5</v>
      </c>
      <c r="D39">
        <f>Table1[[#This Row],[Count]]-Table1[[#This Row],[Edge corr]]</f>
        <v>28</v>
      </c>
      <c r="E39">
        <v>2</v>
      </c>
      <c r="F39" t="s">
        <v>11</v>
      </c>
      <c r="G39">
        <v>3</v>
      </c>
      <c r="H39">
        <v>250</v>
      </c>
    </row>
    <row r="40" spans="1:8">
      <c r="A40">
        <v>39</v>
      </c>
      <c r="B40">
        <v>64</v>
      </c>
      <c r="C40">
        <v>12</v>
      </c>
      <c r="D40">
        <f>Table1[[#This Row],[Count]]-Table1[[#This Row],[Edge corr]]</f>
        <v>52</v>
      </c>
      <c r="E40">
        <v>5</v>
      </c>
      <c r="F40" t="s">
        <v>10</v>
      </c>
      <c r="G40">
        <v>2</v>
      </c>
    </row>
    <row r="41" spans="1:8">
      <c r="A41">
        <v>40</v>
      </c>
      <c r="B41">
        <v>119</v>
      </c>
      <c r="C41">
        <v>22</v>
      </c>
      <c r="D41">
        <f>Table1[[#This Row],[Count]]-Table1[[#This Row],[Edge corr]]</f>
        <v>97</v>
      </c>
      <c r="E41">
        <v>0</v>
      </c>
      <c r="F41" t="s">
        <v>12</v>
      </c>
      <c r="G41">
        <v>3</v>
      </c>
    </row>
    <row r="42" spans="1:8">
      <c r="A42">
        <v>41</v>
      </c>
      <c r="B42">
        <v>48</v>
      </c>
      <c r="C42">
        <v>11</v>
      </c>
      <c r="D42">
        <f>Table1[[#This Row],[Count]]-Table1[[#This Row],[Edge corr]]</f>
        <v>37</v>
      </c>
      <c r="E42">
        <v>5</v>
      </c>
      <c r="F42" t="s">
        <v>10</v>
      </c>
      <c r="G42">
        <v>1</v>
      </c>
    </row>
    <row r="43" spans="1:8">
      <c r="A43">
        <v>42</v>
      </c>
      <c r="B43">
        <v>16</v>
      </c>
      <c r="C43">
        <v>3</v>
      </c>
      <c r="D43">
        <f>Table1[[#This Row],[Count]]-Table1[[#This Row],[Edge corr]]</f>
        <v>13</v>
      </c>
      <c r="E43">
        <v>2</v>
      </c>
      <c r="F43" t="s">
        <v>11</v>
      </c>
      <c r="G43">
        <v>1</v>
      </c>
      <c r="H43">
        <v>500</v>
      </c>
    </row>
    <row r="44" spans="1:8">
      <c r="A44">
        <v>43</v>
      </c>
      <c r="B44">
        <v>41</v>
      </c>
      <c r="C44">
        <v>5</v>
      </c>
      <c r="D44">
        <f>Table1[[#This Row],[Count]]-Table1[[#This Row],[Edge corr]]</f>
        <v>36</v>
      </c>
      <c r="E44">
        <v>5</v>
      </c>
      <c r="F44" t="s">
        <v>11</v>
      </c>
      <c r="G44">
        <v>1</v>
      </c>
    </row>
    <row r="45" spans="1:8">
      <c r="A45">
        <v>44</v>
      </c>
      <c r="B45">
        <v>126</v>
      </c>
      <c r="C45">
        <v>17</v>
      </c>
      <c r="D45">
        <f>Table1[[#This Row],[Count]]-Table1[[#This Row],[Edge corr]]</f>
        <v>109</v>
      </c>
      <c r="E45">
        <v>0</v>
      </c>
      <c r="F45" t="s">
        <v>12</v>
      </c>
      <c r="G45">
        <v>6</v>
      </c>
    </row>
    <row r="46" spans="1:8">
      <c r="A46">
        <v>45</v>
      </c>
      <c r="B46">
        <v>65</v>
      </c>
      <c r="C46">
        <v>11</v>
      </c>
      <c r="D46">
        <f>Table1[[#This Row],[Count]]-Table1[[#This Row],[Edge corr]]</f>
        <v>54</v>
      </c>
      <c r="E46">
        <v>0</v>
      </c>
      <c r="F46" t="s">
        <v>11</v>
      </c>
      <c r="G46">
        <v>2</v>
      </c>
    </row>
    <row r="47" spans="1:8">
      <c r="A47">
        <v>46</v>
      </c>
      <c r="B47">
        <v>42</v>
      </c>
      <c r="C47">
        <v>7</v>
      </c>
      <c r="D47">
        <f>Table1[[#This Row],[Count]]-Table1[[#This Row],[Edge corr]]</f>
        <v>35</v>
      </c>
      <c r="E47">
        <v>2</v>
      </c>
      <c r="F47" t="s">
        <v>9</v>
      </c>
      <c r="G47">
        <v>1</v>
      </c>
    </row>
    <row r="48" spans="1:8">
      <c r="A48">
        <v>47</v>
      </c>
      <c r="B48">
        <v>60</v>
      </c>
      <c r="C48">
        <v>13</v>
      </c>
      <c r="D48">
        <f>Table1[[#This Row],[Count]]-Table1[[#This Row],[Edge corr]]</f>
        <v>47</v>
      </c>
      <c r="E48">
        <v>5</v>
      </c>
      <c r="F48" t="s">
        <v>11</v>
      </c>
      <c r="G48">
        <v>3</v>
      </c>
    </row>
    <row r="49" spans="1:8">
      <c r="A49">
        <v>48</v>
      </c>
      <c r="B49">
        <v>28</v>
      </c>
      <c r="C49">
        <v>3</v>
      </c>
      <c r="D49">
        <f>Table1[[#This Row],[Count]]-Table1[[#This Row],[Edge corr]]</f>
        <v>25</v>
      </c>
      <c r="E49">
        <v>2</v>
      </c>
      <c r="F49" t="s">
        <v>11</v>
      </c>
      <c r="G49">
        <v>1</v>
      </c>
      <c r="H49">
        <v>250</v>
      </c>
    </row>
    <row r="50" spans="1:8">
      <c r="A50">
        <v>49</v>
      </c>
      <c r="B50">
        <v>59</v>
      </c>
      <c r="C50">
        <v>31</v>
      </c>
      <c r="D50">
        <f>Table1[[#This Row],[Count]]-Table1[[#This Row],[Edge corr]]</f>
        <v>28</v>
      </c>
      <c r="E50">
        <v>5</v>
      </c>
      <c r="F50" t="s">
        <v>8</v>
      </c>
      <c r="G50">
        <v>1</v>
      </c>
    </row>
    <row r="51" spans="1:8">
      <c r="A51">
        <v>50</v>
      </c>
      <c r="B51">
        <v>25</v>
      </c>
      <c r="C51">
        <v>1</v>
      </c>
      <c r="D51">
        <f>Table1[[#This Row],[Count]]-Table1[[#This Row],[Edge corr]]</f>
        <v>24</v>
      </c>
      <c r="E51">
        <v>5</v>
      </c>
      <c r="F51" t="s">
        <v>9</v>
      </c>
      <c r="G51">
        <v>3</v>
      </c>
    </row>
    <row r="52" spans="1:8">
      <c r="A52">
        <v>51</v>
      </c>
      <c r="B52">
        <v>90</v>
      </c>
      <c r="C52">
        <v>8</v>
      </c>
      <c r="D52">
        <f>Table1[[#This Row],[Count]]-Table1[[#This Row],[Edge corr]]</f>
        <v>82</v>
      </c>
      <c r="E52">
        <v>0</v>
      </c>
      <c r="F52" t="s">
        <v>12</v>
      </c>
      <c r="G52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2026-02-13T15:08:09Z</dcterms:created>
  <dcterms:modified xsi:type="dcterms:W3CDTF">2026-03-17T10:34:23Z</dcterms:modified>
  <cp:category/>
  <cp:contentStatus/>
</cp:coreProperties>
</file>